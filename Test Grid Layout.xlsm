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rowe-my.sharepoint.com/personal/petar_ivancevic_crowe_com/Documents/AI/CDDOnboardingPrototype/Attribute Library Workpaper Folder/"/>
    </mc:Choice>
  </mc:AlternateContent>
  <xr:revisionPtr revIDLastSave="224" documentId="8_{3D8AAD1E-AE9C-4C15-BE55-71D3DD89C9B6}" xr6:coauthVersionLast="47" xr6:coauthVersionMax="47" xr10:uidLastSave="{063FC202-93A8-4B58-A3C5-7C0D269F308D}"/>
  <bookViews>
    <workbookView xWindow="-120" yWindow="-16320" windowWidth="29040" windowHeight="15720" xr2:uid="{3D4CEC7F-846D-4B0C-BE1F-64F312B34AC5}"/>
  </bookViews>
  <sheets>
    <sheet name="Enterprise" sheetId="1" r:id="rId1"/>
  </sheets>
  <definedNames>
    <definedName name="_xleta.COUNT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1" l="1"/>
  <c r="I20" i="1"/>
  <c r="I19" i="1"/>
  <c r="I12" i="1"/>
  <c r="I14" i="1"/>
  <c r="I13" i="1"/>
  <c r="I17" i="1"/>
  <c r="I16" i="1"/>
  <c r="I15" i="1"/>
</calcChain>
</file>

<file path=xl/sharedStrings.xml><?xml version="1.0" encoding="utf-8"?>
<sst xmlns="http://schemas.openxmlformats.org/spreadsheetml/2006/main" count="28" uniqueCount="28">
  <si>
    <t>Auditor</t>
  </si>
  <si>
    <t>Legal Name</t>
  </si>
  <si>
    <t>Initial Risk Rating (IRR)</t>
  </si>
  <si>
    <t>Dynamic Risk Rating (DRR)</t>
  </si>
  <si>
    <t>Case ID # (Aware)</t>
  </si>
  <si>
    <t>Primary FLU</t>
  </si>
  <si>
    <t>Party Type</t>
  </si>
  <si>
    <t>Attribute ID</t>
  </si>
  <si>
    <t>Attribute Name</t>
  </si>
  <si>
    <t>Category</t>
  </si>
  <si>
    <t>Source File</t>
  </si>
  <si>
    <t>Source</t>
  </si>
  <si>
    <t>Source Page</t>
  </si>
  <si>
    <t>Pass Count</t>
  </si>
  <si>
    <t>Sampling Index</t>
  </si>
  <si>
    <t>Auditor Name</t>
  </si>
  <si>
    <t>Empty Count</t>
  </si>
  <si>
    <t>Percent Complete</t>
  </si>
  <si>
    <t>KYC Date</t>
  </si>
  <si>
    <t>Pass w/Observation Count</t>
  </si>
  <si>
    <t>Fail 1 - Regulatory/Policy Count</t>
  </si>
  <si>
    <t>Fail 2 - Procedure Count</t>
  </si>
  <si>
    <t>Question to LOB Count</t>
  </si>
  <si>
    <t>GCI #s</t>
  </si>
  <si>
    <t>Group</t>
  </si>
  <si>
    <t>N/A Count</t>
  </si>
  <si>
    <t>Attribute Count</t>
  </si>
  <si>
    <t>Attribute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</si>
</sst>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rial"/>
      <family val="2"/>
    </font>
    <font>
      <b/>
      <sz val="11"/>
      <color theme="0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 style="thick">
        <color theme="0"/>
      </bottom>
      <diagonal/>
    </border>
    <border>
      <left style="thin">
        <color theme="4" tint="0.39997558519241921"/>
      </left>
      <right style="thin">
        <color theme="0"/>
      </right>
      <top style="thin">
        <color theme="4" tint="0.39997558519241921"/>
      </top>
      <bottom style="thick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3">
    <xf numFmtId="0" fontId="0" fillId="0" borderId="0"/>
    <xf numFmtId="0" fontId="2" fillId="3" borderId="3" applyNumberFormat="0" applyFont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9" fontId="3" fillId="0" borderId="0" xfId="2" applyFont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0" fontId="0" fillId="3" borderId="4" xfId="1" applyFont="1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3">
    <cellStyle name="Normal" xfId="0" builtinId="0"/>
    <cellStyle name="Note" xfId="1" builtinId="10"/>
    <cellStyle name="Percent" xfId="2" builtinId="5"/>
  </cellStyles>
  <dxfs count="35">
    <dxf>
      <font>
        <color auto="1"/>
      </font>
      <fill>
        <patternFill>
          <bgColor theme="2" tint="-0.24994659260841701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2" tint="-0.24994659260841701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4EA72E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theme="1"/>
      </font>
      <fill>
        <patternFill>
          <bgColor rgb="FFFFFF00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ill>
        <patternFill>
          <bgColor rgb="FF15608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FF00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4EA72E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rgb="FF006100"/>
      </font>
      <fill>
        <patternFill>
          <bgColor rgb="FFC6EFCE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rgb="FFFA7D00"/>
      </font>
      <fill>
        <patternFill>
          <bgColor rgb="FFF2F2F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2" tint="-0.24994659260841701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auto="1"/>
      </font>
      <fill>
        <patternFill>
          <bgColor theme="2" tint="-0.24994659260841701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4EA72E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theme="1"/>
      </font>
      <fill>
        <patternFill>
          <bgColor rgb="FFFFFF00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ill>
        <patternFill>
          <bgColor rgb="FF15608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FFF00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rgb="FF9C0006"/>
      </font>
      <fill>
        <patternFill>
          <bgColor rgb="FFFFC7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4EA72E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rgb="FF006100"/>
      </font>
      <fill>
        <patternFill>
          <bgColor rgb="FFC6EFCE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  <vertical/>
        <horizontal/>
      </border>
    </dxf>
    <dxf>
      <font>
        <color rgb="FFFA7D00"/>
      </font>
      <fill>
        <patternFill>
          <bgColor rgb="FFF2F2F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4EA72E"/>
      <color rgb="FF0F9ED5"/>
      <color rgb="FFFFFFFF"/>
      <color rgb="FF156082"/>
      <color rgb="FFC6EFCE"/>
      <color rgb="FFFFC7CE"/>
      <color rgb="FF006100"/>
      <color rgb="FF9C0006"/>
      <color rgb="FFFA7D00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1FA-6C8D-4D4F-8D6B-2F1A2E14F9AF}">
  <sheetPr codeName="Sheet1"/>
  <dimension ref="A1:I313"/>
  <sheetViews>
    <sheetView showGridLines="0" tabSelected="1" zoomScaleNormal="100" workbookViewId="0">
      <pane xSplit="8" ySplit="21" topLeftCell="K22" activePane="bottomRight" state="frozen"/>
      <selection activeCell="G1" sqref="G1"/>
      <selection pane="topRight" activeCell="H1" sqref="H1"/>
      <selection pane="bottomLeft" activeCell="G20" sqref="G20"/>
      <selection pane="bottomRight" activeCell="K11" sqref="K11"/>
    </sheetView>
  </sheetViews>
  <sheetFormatPr defaultRowHeight="12.75" outlineLevelCol="1" x14ac:dyDescent="0.2"/>
  <cols>
    <col min="1" max="7" width="10.7109375" hidden="1" customWidth="1" outlineLevel="1"/>
    <col min="8" max="8" width="40.7109375" customWidth="1" collapsed="1"/>
    <col min="9" max="26" width="30.7109375" style="5" customWidth="1"/>
    <col min="27" max="16384" width="9.140625" style="5"/>
  </cols>
  <sheetData>
    <row r="1" spans="1:9" s="6" customFormat="1" x14ac:dyDescent="0.2">
      <c r="A1" s="1"/>
      <c r="B1" s="1"/>
      <c r="C1" s="1"/>
      <c r="D1" s="1"/>
      <c r="E1" s="1"/>
      <c r="F1" s="1"/>
      <c r="G1" s="1"/>
      <c r="H1" s="9" t="s">
        <v>14</v>
      </c>
    </row>
    <row r="2" spans="1:9" s="6" customFormat="1" x14ac:dyDescent="0.2">
      <c r="A2" s="1"/>
      <c r="B2" s="1"/>
      <c r="C2" s="1"/>
      <c r="D2" s="1"/>
      <c r="E2" s="1"/>
      <c r="F2" s="1"/>
      <c r="G2" s="1"/>
      <c r="H2" s="9" t="s">
        <v>0</v>
      </c>
    </row>
    <row r="3" spans="1:9" s="6" customFormat="1" x14ac:dyDescent="0.2">
      <c r="A3" s="1"/>
      <c r="B3" s="1"/>
      <c r="C3" s="1"/>
      <c r="D3" s="1"/>
      <c r="E3" s="1"/>
      <c r="F3" s="1"/>
      <c r="G3" s="1"/>
      <c r="H3" s="9" t="s">
        <v>15</v>
      </c>
    </row>
    <row r="4" spans="1:9" s="6" customFormat="1" x14ac:dyDescent="0.2">
      <c r="A4" s="1"/>
      <c r="B4" s="1"/>
      <c r="C4" s="1"/>
      <c r="D4" s="1"/>
      <c r="E4" s="1"/>
      <c r="F4" s="1"/>
      <c r="G4" s="1"/>
      <c r="H4" s="9" t="s">
        <v>23</v>
      </c>
    </row>
    <row r="5" spans="1:9" s="6" customFormat="1" x14ac:dyDescent="0.2">
      <c r="A5" s="1"/>
      <c r="B5" s="1"/>
      <c r="C5" s="1"/>
      <c r="D5" s="1"/>
      <c r="E5" s="1"/>
      <c r="F5" s="1"/>
      <c r="G5" s="1"/>
      <c r="H5" s="9" t="s">
        <v>1</v>
      </c>
    </row>
    <row r="6" spans="1:9" s="6" customFormat="1" x14ac:dyDescent="0.2">
      <c r="A6" s="1"/>
      <c r="B6" s="1"/>
      <c r="C6" s="1"/>
      <c r="D6" s="1"/>
      <c r="E6" s="1"/>
      <c r="F6" s="1"/>
      <c r="G6" s="1"/>
      <c r="H6" s="9" t="s">
        <v>6</v>
      </c>
    </row>
    <row r="7" spans="1:9" s="6" customFormat="1" x14ac:dyDescent="0.2">
      <c r="A7" s="1"/>
      <c r="B7" s="1"/>
      <c r="C7" s="1"/>
      <c r="D7" s="1"/>
      <c r="E7" s="1"/>
      <c r="F7" s="1"/>
      <c r="G7" s="1"/>
      <c r="H7" s="9" t="s">
        <v>18</v>
      </c>
    </row>
    <row r="8" spans="1:9" s="6" customFormat="1" x14ac:dyDescent="0.2">
      <c r="A8" s="1"/>
      <c r="B8" s="1"/>
      <c r="C8" s="1"/>
      <c r="D8" s="1"/>
      <c r="E8" s="1"/>
      <c r="F8" s="1"/>
      <c r="G8" s="1"/>
      <c r="H8" s="9" t="s">
        <v>2</v>
      </c>
    </row>
    <row r="9" spans="1:9" s="6" customFormat="1" x14ac:dyDescent="0.2">
      <c r="A9" s="1"/>
      <c r="B9" s="1"/>
      <c r="C9" s="1"/>
      <c r="D9" s="1"/>
      <c r="E9" s="1"/>
      <c r="F9" s="1"/>
      <c r="G9" s="1"/>
      <c r="H9" s="9" t="s">
        <v>3</v>
      </c>
    </row>
    <row r="10" spans="1:9" s="6" customFormat="1" x14ac:dyDescent="0.2">
      <c r="A10" s="1"/>
      <c r="B10" s="1"/>
      <c r="C10" s="1"/>
      <c r="D10" s="1"/>
      <c r="E10" s="1"/>
      <c r="F10" s="1"/>
      <c r="G10" s="1"/>
      <c r="H10" s="9" t="s">
        <v>4</v>
      </c>
    </row>
    <row r="11" spans="1:9" s="6" customFormat="1" x14ac:dyDescent="0.2">
      <c r="A11" s="1"/>
      <c r="B11" s="1"/>
      <c r="C11" s="1"/>
      <c r="D11" s="1"/>
      <c r="E11" s="1"/>
      <c r="F11" s="1"/>
      <c r="G11" s="1"/>
      <c r="H11" s="9" t="s">
        <v>5</v>
      </c>
    </row>
    <row r="12" spans="1:9" s="6" customFormat="1" x14ac:dyDescent="0.2">
      <c r="A12" s="1"/>
      <c r="B12" s="1"/>
      <c r="C12" s="1"/>
      <c r="D12" s="1"/>
      <c r="E12" s="1"/>
      <c r="F12" s="1"/>
      <c r="G12" s="1"/>
      <c r="H12" s="9" t="s">
        <v>13</v>
      </c>
      <c r="I12" s="6" t="str">
        <f>IF(COUNTA(I22:I308)=0,"",COUNTIFS($H$22:$H$308,"&lt;&gt;",I$22:I$308,"&lt;&gt;",I$22:I$308,"&lt;&gt;Fail 1 - Regulatory/Policy",I$22:I$308,"&lt;&gt;Fail 2 - Procedure",I$22:I$308,"&lt;&gt;Question to LOB",I$22:I$308,"&lt;&gt;Pass with Observation",I$22:I$308,"&lt;&gt;N/A"))</f>
        <v/>
      </c>
    </row>
    <row r="13" spans="1:9" s="6" customFormat="1" x14ac:dyDescent="0.2">
      <c r="A13" s="1"/>
      <c r="B13" s="1"/>
      <c r="C13" s="1"/>
      <c r="D13" s="1"/>
      <c r="E13" s="1"/>
      <c r="F13" s="1"/>
      <c r="G13" s="1"/>
      <c r="H13" s="9" t="s">
        <v>19</v>
      </c>
      <c r="I13" s="6" t="str">
        <f>IF(COUNTA(I22:I308)=0,"",COUNTIFS($H$22:$H$308,"&lt;&gt;",I$22:I$308,"Pass with Observation"))</f>
        <v/>
      </c>
    </row>
    <row r="14" spans="1:9" s="6" customFormat="1" x14ac:dyDescent="0.2">
      <c r="A14" s="1"/>
      <c r="B14" s="1"/>
      <c r="C14" s="1"/>
      <c r="D14" s="1"/>
      <c r="E14" s="1"/>
      <c r="F14" s="1"/>
      <c r="G14" s="1"/>
      <c r="H14" s="9" t="s">
        <v>25</v>
      </c>
      <c r="I14" s="6" t="str">
        <f>IF(COUNTA(I22:I308)=0,"",COUNTIFS($H$22:$H$308,"&lt;&gt;",I$22:I$308,"N/A"))</f>
        <v/>
      </c>
    </row>
    <row r="15" spans="1:9" s="6" customFormat="1" x14ac:dyDescent="0.2">
      <c r="A15" s="1"/>
      <c r="B15" s="1"/>
      <c r="C15" s="1"/>
      <c r="D15" s="1"/>
      <c r="E15" s="1"/>
      <c r="F15" s="1"/>
      <c r="G15" s="1"/>
      <c r="H15" s="9" t="s">
        <v>20</v>
      </c>
      <c r="I15" s="6" t="str">
        <f>IF(COUNTA(I22:I308)=0,"",COUNTIFS($H$22:$H$308,"&lt;&gt;",I$22:I$308,"Fail 1 - Regulatory/Policy"))</f>
        <v/>
      </c>
    </row>
    <row r="16" spans="1:9" s="6" customFormat="1" x14ac:dyDescent="0.2">
      <c r="A16" s="1"/>
      <c r="B16" s="1"/>
      <c r="C16" s="1"/>
      <c r="D16" s="1"/>
      <c r="E16" s="1"/>
      <c r="F16" s="1"/>
      <c r="G16" s="1"/>
      <c r="H16" s="9" t="s">
        <v>21</v>
      </c>
      <c r="I16" s="6" t="str">
        <f>IF(COUNTA(I22:I308)=0,"",COUNTIFS($H$22:$H$308,"&lt;&gt;",I$22:I$308,"Fail 2 - Procedure"))</f>
        <v/>
      </c>
    </row>
    <row r="17" spans="1:9" s="6" customFormat="1" x14ac:dyDescent="0.2">
      <c r="A17" s="1"/>
      <c r="B17" s="1"/>
      <c r="C17" s="1"/>
      <c r="D17" s="1"/>
      <c r="E17" s="1"/>
      <c r="F17" s="1"/>
      <c r="G17" s="1"/>
      <c r="H17" s="9" t="s">
        <v>22</v>
      </c>
      <c r="I17" s="6" t="str">
        <f>IF(COUNTA(I22:I308)=0,"",COUNTIFS($H$22:$H$308,"&lt;&gt;",I$22:I$308,"Question to LOB"))</f>
        <v/>
      </c>
    </row>
    <row r="18" spans="1:9" s="6" customFormat="1" x14ac:dyDescent="0.2">
      <c r="A18" s="1"/>
      <c r="B18" s="1"/>
      <c r="C18" s="1"/>
      <c r="D18" s="1"/>
      <c r="E18" s="1"/>
      <c r="F18" s="1"/>
      <c r="G18" s="1"/>
      <c r="H18" s="9" t="s">
        <v>16</v>
      </c>
      <c r="I18" s="6" t="str">
        <f>IF(COUNTA($H$22:$H$308)=0,"",IF(COUNTA(I$22:I$308)=0,COUNTA($H$22:$H$308),I19-I12-I13-I14-I15-I16-I17))</f>
        <v/>
      </c>
    </row>
    <row r="19" spans="1:9" s="6" customFormat="1" x14ac:dyDescent="0.2">
      <c r="A19" s="1"/>
      <c r="B19" s="1"/>
      <c r="C19" s="1"/>
      <c r="D19" s="1"/>
      <c r="E19" s="1"/>
      <c r="F19" s="1"/>
      <c r="G19" s="1"/>
      <c r="H19" s="9" t="s">
        <v>26</v>
      </c>
      <c r="I19" s="6" t="str">
        <f>IF(COUNTA($H$22:$H$308)=0,"",COUNTA($H$22:$H$308))</f>
        <v/>
      </c>
    </row>
    <row r="20" spans="1:9" s="7" customFormat="1" x14ac:dyDescent="0.2">
      <c r="A20" s="1"/>
      <c r="B20" s="1"/>
      <c r="C20" s="1"/>
      <c r="D20" s="1"/>
      <c r="E20" s="1"/>
      <c r="F20" s="1"/>
      <c r="G20" s="1"/>
      <c r="H20" s="9" t="s">
        <v>17</v>
      </c>
      <c r="I20" s="7" t="str">
        <f>IF(COUNTA($H$22:$H$308)=0,"",IF(COUNTA(I22:I308)&gt;0,(I19-I18-I17)/I19,0))</f>
        <v/>
      </c>
    </row>
    <row r="21" spans="1:9" ht="15.75" thickBot="1" x14ac:dyDescent="0.25">
      <c r="A21" s="2" t="s">
        <v>10</v>
      </c>
      <c r="B21" s="3" t="s">
        <v>7</v>
      </c>
      <c r="C21" s="3" t="s">
        <v>8</v>
      </c>
      <c r="D21" s="3" t="s">
        <v>9</v>
      </c>
      <c r="E21" s="3" t="s">
        <v>24</v>
      </c>
      <c r="F21" s="3" t="s">
        <v>11</v>
      </c>
      <c r="G21" s="3" t="s">
        <v>12</v>
      </c>
      <c r="H21" s="8" t="s">
        <v>27</v>
      </c>
      <c r="I21" s="4"/>
    </row>
    <row r="22" spans="1:9" ht="13.5" thickTop="1" x14ac:dyDescent="0.2">
      <c r="H22" s="10"/>
    </row>
    <row r="23" spans="1:9" x14ac:dyDescent="0.2">
      <c r="H23" s="10"/>
    </row>
    <row r="24" spans="1:9" x14ac:dyDescent="0.2">
      <c r="H24" s="10"/>
    </row>
    <row r="25" spans="1:9" x14ac:dyDescent="0.2">
      <c r="H25" s="10"/>
    </row>
    <row r="26" spans="1:9" x14ac:dyDescent="0.2">
      <c r="H26" s="10"/>
    </row>
    <row r="27" spans="1:9" x14ac:dyDescent="0.2">
      <c r="H27" s="10"/>
    </row>
    <row r="28" spans="1:9" x14ac:dyDescent="0.2">
      <c r="H28" s="10"/>
    </row>
    <row r="29" spans="1:9" x14ac:dyDescent="0.2">
      <c r="H29" s="10"/>
    </row>
    <row r="30" spans="1:9" x14ac:dyDescent="0.2">
      <c r="H30" s="10"/>
    </row>
    <row r="31" spans="1:9" x14ac:dyDescent="0.2">
      <c r="H31" s="10"/>
    </row>
    <row r="32" spans="1:9" x14ac:dyDescent="0.2">
      <c r="H32" s="10"/>
    </row>
    <row r="33" spans="8:8" x14ac:dyDescent="0.2">
      <c r="H33" s="10"/>
    </row>
    <row r="34" spans="8:8" x14ac:dyDescent="0.2">
      <c r="H34" s="10"/>
    </row>
    <row r="35" spans="8:8" x14ac:dyDescent="0.2">
      <c r="H35" s="10"/>
    </row>
    <row r="36" spans="8:8" x14ac:dyDescent="0.2">
      <c r="H36" s="10"/>
    </row>
    <row r="37" spans="8:8" x14ac:dyDescent="0.2">
      <c r="H37" s="10"/>
    </row>
    <row r="38" spans="8:8" x14ac:dyDescent="0.2">
      <c r="H38" s="10"/>
    </row>
    <row r="39" spans="8:8" x14ac:dyDescent="0.2">
      <c r="H39" s="10"/>
    </row>
    <row r="40" spans="8:8" x14ac:dyDescent="0.2">
      <c r="H40" s="10"/>
    </row>
    <row r="41" spans="8:8" x14ac:dyDescent="0.2">
      <c r="H41" s="10"/>
    </row>
    <row r="42" spans="8:8" x14ac:dyDescent="0.2">
      <c r="H42" s="10"/>
    </row>
    <row r="43" spans="8:8" x14ac:dyDescent="0.2">
      <c r="H43" s="10"/>
    </row>
    <row r="44" spans="8:8" x14ac:dyDescent="0.2">
      <c r="H44" s="10"/>
    </row>
    <row r="45" spans="8:8" x14ac:dyDescent="0.2">
      <c r="H45" s="10"/>
    </row>
    <row r="46" spans="8:8" x14ac:dyDescent="0.2">
      <c r="H46" s="10"/>
    </row>
    <row r="47" spans="8:8" x14ac:dyDescent="0.2">
      <c r="H47" s="10"/>
    </row>
    <row r="48" spans="8:8" x14ac:dyDescent="0.2">
      <c r="H48" s="10"/>
    </row>
    <row r="49" spans="8:8" x14ac:dyDescent="0.2">
      <c r="H49" s="10"/>
    </row>
    <row r="50" spans="8:8" x14ac:dyDescent="0.2">
      <c r="H50" s="10"/>
    </row>
    <row r="51" spans="8:8" x14ac:dyDescent="0.2">
      <c r="H51" s="10"/>
    </row>
    <row r="52" spans="8:8" x14ac:dyDescent="0.2">
      <c r="H52" s="10"/>
    </row>
    <row r="53" spans="8:8" x14ac:dyDescent="0.2">
      <c r="H53" s="10"/>
    </row>
    <row r="54" spans="8:8" x14ac:dyDescent="0.2">
      <c r="H54" s="10"/>
    </row>
    <row r="55" spans="8:8" x14ac:dyDescent="0.2">
      <c r="H55" s="10"/>
    </row>
    <row r="56" spans="8:8" x14ac:dyDescent="0.2">
      <c r="H56" s="10"/>
    </row>
    <row r="57" spans="8:8" x14ac:dyDescent="0.2">
      <c r="H57" s="10"/>
    </row>
    <row r="58" spans="8:8" x14ac:dyDescent="0.2">
      <c r="H58" s="10"/>
    </row>
    <row r="59" spans="8:8" x14ac:dyDescent="0.2">
      <c r="H59" s="10"/>
    </row>
    <row r="60" spans="8:8" x14ac:dyDescent="0.2">
      <c r="H60" s="10"/>
    </row>
    <row r="61" spans="8:8" x14ac:dyDescent="0.2">
      <c r="H61" s="10"/>
    </row>
    <row r="62" spans="8:8" x14ac:dyDescent="0.2">
      <c r="H62" s="10"/>
    </row>
    <row r="63" spans="8:8" x14ac:dyDescent="0.2">
      <c r="H63" s="10"/>
    </row>
    <row r="64" spans="8:8" x14ac:dyDescent="0.2">
      <c r="H64" s="10"/>
    </row>
    <row r="65" spans="8:8" x14ac:dyDescent="0.2">
      <c r="H65" s="10"/>
    </row>
    <row r="66" spans="8:8" x14ac:dyDescent="0.2">
      <c r="H66" s="10"/>
    </row>
    <row r="67" spans="8:8" x14ac:dyDescent="0.2">
      <c r="H67" s="10"/>
    </row>
    <row r="68" spans="8:8" x14ac:dyDescent="0.2">
      <c r="H68" s="10"/>
    </row>
    <row r="69" spans="8:8" x14ac:dyDescent="0.2">
      <c r="H69" s="10"/>
    </row>
    <row r="70" spans="8:8" x14ac:dyDescent="0.2">
      <c r="H70" s="10"/>
    </row>
    <row r="71" spans="8:8" x14ac:dyDescent="0.2">
      <c r="H71" s="10"/>
    </row>
    <row r="72" spans="8:8" x14ac:dyDescent="0.2">
      <c r="H72" s="10"/>
    </row>
    <row r="73" spans="8:8" x14ac:dyDescent="0.2">
      <c r="H73" s="10"/>
    </row>
    <row r="74" spans="8:8" x14ac:dyDescent="0.2">
      <c r="H74" s="10"/>
    </row>
    <row r="75" spans="8:8" x14ac:dyDescent="0.2">
      <c r="H75" s="10"/>
    </row>
    <row r="76" spans="8:8" x14ac:dyDescent="0.2">
      <c r="H76" s="10"/>
    </row>
    <row r="77" spans="8:8" x14ac:dyDescent="0.2">
      <c r="H77" s="10"/>
    </row>
    <row r="78" spans="8:8" x14ac:dyDescent="0.2">
      <c r="H78" s="10"/>
    </row>
    <row r="79" spans="8:8" x14ac:dyDescent="0.2">
      <c r="H79" s="10"/>
    </row>
    <row r="80" spans="8:8" x14ac:dyDescent="0.2">
      <c r="H80" s="10"/>
    </row>
    <row r="81" spans="8:8" x14ac:dyDescent="0.2">
      <c r="H81" s="10"/>
    </row>
    <row r="82" spans="8:8" x14ac:dyDescent="0.2">
      <c r="H82" s="10"/>
    </row>
    <row r="83" spans="8:8" x14ac:dyDescent="0.2">
      <c r="H83" s="10"/>
    </row>
    <row r="84" spans="8:8" x14ac:dyDescent="0.2">
      <c r="H84" s="10"/>
    </row>
    <row r="85" spans="8:8" x14ac:dyDescent="0.2">
      <c r="H85" s="10"/>
    </row>
    <row r="86" spans="8:8" x14ac:dyDescent="0.2">
      <c r="H86" s="10"/>
    </row>
    <row r="87" spans="8:8" x14ac:dyDescent="0.2">
      <c r="H87" s="10"/>
    </row>
    <row r="88" spans="8:8" x14ac:dyDescent="0.2">
      <c r="H88" s="10"/>
    </row>
    <row r="89" spans="8:8" x14ac:dyDescent="0.2">
      <c r="H89" s="10"/>
    </row>
    <row r="90" spans="8:8" x14ac:dyDescent="0.2">
      <c r="H90" s="10"/>
    </row>
    <row r="91" spans="8:8" x14ac:dyDescent="0.2">
      <c r="H91" s="10"/>
    </row>
    <row r="92" spans="8:8" x14ac:dyDescent="0.2">
      <c r="H92" s="10"/>
    </row>
    <row r="93" spans="8:8" x14ac:dyDescent="0.2">
      <c r="H93" s="10"/>
    </row>
    <row r="94" spans="8:8" x14ac:dyDescent="0.2">
      <c r="H94" s="10"/>
    </row>
    <row r="95" spans="8:8" x14ac:dyDescent="0.2">
      <c r="H95" s="10"/>
    </row>
    <row r="96" spans="8:8" x14ac:dyDescent="0.2">
      <c r="H96" s="10"/>
    </row>
    <row r="97" spans="8:8" x14ac:dyDescent="0.2">
      <c r="H97" s="10"/>
    </row>
    <row r="98" spans="8:8" x14ac:dyDescent="0.2">
      <c r="H98" s="10"/>
    </row>
    <row r="99" spans="8:8" x14ac:dyDescent="0.2">
      <c r="H99" s="10"/>
    </row>
    <row r="100" spans="8:8" x14ac:dyDescent="0.2">
      <c r="H100" s="10"/>
    </row>
    <row r="101" spans="8:8" x14ac:dyDescent="0.2">
      <c r="H101" s="10"/>
    </row>
    <row r="102" spans="8:8" x14ac:dyDescent="0.2">
      <c r="H102" s="10"/>
    </row>
    <row r="103" spans="8:8" x14ac:dyDescent="0.2">
      <c r="H103" s="10"/>
    </row>
    <row r="104" spans="8:8" x14ac:dyDescent="0.2">
      <c r="H104" s="10"/>
    </row>
    <row r="105" spans="8:8" x14ac:dyDescent="0.2">
      <c r="H105" s="10"/>
    </row>
    <row r="106" spans="8:8" x14ac:dyDescent="0.2">
      <c r="H106" s="10"/>
    </row>
    <row r="107" spans="8:8" x14ac:dyDescent="0.2">
      <c r="H107" s="10"/>
    </row>
    <row r="108" spans="8:8" x14ac:dyDescent="0.2">
      <c r="H108" s="10"/>
    </row>
    <row r="109" spans="8:8" x14ac:dyDescent="0.2">
      <c r="H109" s="10"/>
    </row>
    <row r="110" spans="8:8" x14ac:dyDescent="0.2">
      <c r="H110" s="10"/>
    </row>
    <row r="111" spans="8:8" x14ac:dyDescent="0.2">
      <c r="H111" s="10"/>
    </row>
    <row r="112" spans="8:8" x14ac:dyDescent="0.2">
      <c r="H112" s="10"/>
    </row>
    <row r="113" spans="8:8" x14ac:dyDescent="0.2">
      <c r="H113" s="10"/>
    </row>
    <row r="114" spans="8:8" x14ac:dyDescent="0.2">
      <c r="H114" s="10"/>
    </row>
    <row r="115" spans="8:8" x14ac:dyDescent="0.2">
      <c r="H115" s="10"/>
    </row>
    <row r="116" spans="8:8" x14ac:dyDescent="0.2">
      <c r="H116" s="10"/>
    </row>
    <row r="117" spans="8:8" x14ac:dyDescent="0.2">
      <c r="H117" s="10"/>
    </row>
    <row r="118" spans="8:8" x14ac:dyDescent="0.2">
      <c r="H118" s="10"/>
    </row>
    <row r="119" spans="8:8" x14ac:dyDescent="0.2">
      <c r="H119" s="10"/>
    </row>
    <row r="120" spans="8:8" x14ac:dyDescent="0.2">
      <c r="H120" s="10"/>
    </row>
    <row r="121" spans="8:8" x14ac:dyDescent="0.2">
      <c r="H121" s="10"/>
    </row>
    <row r="122" spans="8:8" x14ac:dyDescent="0.2">
      <c r="H122" s="10"/>
    </row>
    <row r="123" spans="8:8" x14ac:dyDescent="0.2">
      <c r="H123" s="10"/>
    </row>
    <row r="124" spans="8:8" x14ac:dyDescent="0.2">
      <c r="H124" s="10"/>
    </row>
    <row r="125" spans="8:8" x14ac:dyDescent="0.2">
      <c r="H125" s="10"/>
    </row>
    <row r="126" spans="8:8" x14ac:dyDescent="0.2">
      <c r="H126" s="10"/>
    </row>
    <row r="127" spans="8:8" x14ac:dyDescent="0.2">
      <c r="H127" s="10"/>
    </row>
    <row r="128" spans="8:8" x14ac:dyDescent="0.2">
      <c r="H128" s="10"/>
    </row>
    <row r="129" spans="8:8" x14ac:dyDescent="0.2">
      <c r="H129" s="10"/>
    </row>
    <row r="130" spans="8:8" x14ac:dyDescent="0.2">
      <c r="H130" s="10"/>
    </row>
    <row r="131" spans="8:8" x14ac:dyDescent="0.2">
      <c r="H131" s="10"/>
    </row>
    <row r="132" spans="8:8" x14ac:dyDescent="0.2">
      <c r="H132" s="10"/>
    </row>
    <row r="133" spans="8:8" x14ac:dyDescent="0.2">
      <c r="H133" s="10"/>
    </row>
    <row r="134" spans="8:8" x14ac:dyDescent="0.2">
      <c r="H134" s="10"/>
    </row>
    <row r="135" spans="8:8" x14ac:dyDescent="0.2">
      <c r="H135" s="10"/>
    </row>
    <row r="136" spans="8:8" x14ac:dyDescent="0.2">
      <c r="H136" s="10"/>
    </row>
    <row r="137" spans="8:8" x14ac:dyDescent="0.2">
      <c r="H137" s="10"/>
    </row>
    <row r="138" spans="8:8" x14ac:dyDescent="0.2">
      <c r="H138" s="10"/>
    </row>
    <row r="139" spans="8:8" x14ac:dyDescent="0.2">
      <c r="H139" s="10"/>
    </row>
    <row r="140" spans="8:8" x14ac:dyDescent="0.2">
      <c r="H140" s="10"/>
    </row>
    <row r="141" spans="8:8" x14ac:dyDescent="0.2">
      <c r="H141" s="10"/>
    </row>
    <row r="142" spans="8:8" x14ac:dyDescent="0.2">
      <c r="H142" s="10"/>
    </row>
    <row r="143" spans="8:8" x14ac:dyDescent="0.2">
      <c r="H143" s="10"/>
    </row>
    <row r="144" spans="8:8" x14ac:dyDescent="0.2">
      <c r="H144" s="10"/>
    </row>
    <row r="145" spans="8:8" x14ac:dyDescent="0.2">
      <c r="H145" s="10"/>
    </row>
    <row r="146" spans="8:8" x14ac:dyDescent="0.2">
      <c r="H146" s="10"/>
    </row>
    <row r="147" spans="8:8" x14ac:dyDescent="0.2">
      <c r="H147" s="10"/>
    </row>
    <row r="148" spans="8:8" x14ac:dyDescent="0.2">
      <c r="H148" s="10"/>
    </row>
    <row r="149" spans="8:8" x14ac:dyDescent="0.2">
      <c r="H149" s="10"/>
    </row>
    <row r="150" spans="8:8" x14ac:dyDescent="0.2">
      <c r="H150" s="10"/>
    </row>
    <row r="151" spans="8:8" x14ac:dyDescent="0.2">
      <c r="H151" s="10"/>
    </row>
    <row r="152" spans="8:8" x14ac:dyDescent="0.2">
      <c r="H152" s="10"/>
    </row>
    <row r="153" spans="8:8" x14ac:dyDescent="0.2">
      <c r="H153" s="10"/>
    </row>
    <row r="154" spans="8:8" x14ac:dyDescent="0.2">
      <c r="H154" s="10"/>
    </row>
    <row r="155" spans="8:8" x14ac:dyDescent="0.2">
      <c r="H155" s="10"/>
    </row>
    <row r="156" spans="8:8" x14ac:dyDescent="0.2">
      <c r="H156" s="10"/>
    </row>
    <row r="157" spans="8:8" x14ac:dyDescent="0.2">
      <c r="H157" s="10"/>
    </row>
    <row r="158" spans="8:8" x14ac:dyDescent="0.2">
      <c r="H158" s="10"/>
    </row>
    <row r="159" spans="8:8" x14ac:dyDescent="0.2">
      <c r="H159" s="10"/>
    </row>
    <row r="160" spans="8:8" x14ac:dyDescent="0.2">
      <c r="H160" s="10"/>
    </row>
    <row r="161" spans="8:8" x14ac:dyDescent="0.2">
      <c r="H161" s="10"/>
    </row>
    <row r="162" spans="8:8" x14ac:dyDescent="0.2">
      <c r="H162" s="10"/>
    </row>
    <row r="163" spans="8:8" x14ac:dyDescent="0.2">
      <c r="H163" s="10"/>
    </row>
    <row r="164" spans="8:8" x14ac:dyDescent="0.2">
      <c r="H164" s="10"/>
    </row>
    <row r="165" spans="8:8" x14ac:dyDescent="0.2">
      <c r="H165" s="10"/>
    </row>
    <row r="166" spans="8:8" x14ac:dyDescent="0.2">
      <c r="H166" s="10"/>
    </row>
    <row r="167" spans="8:8" x14ac:dyDescent="0.2">
      <c r="H167" s="10"/>
    </row>
    <row r="168" spans="8:8" x14ac:dyDescent="0.2">
      <c r="H168" s="10"/>
    </row>
    <row r="169" spans="8:8" x14ac:dyDescent="0.2">
      <c r="H169" s="10"/>
    </row>
    <row r="170" spans="8:8" x14ac:dyDescent="0.2">
      <c r="H170" s="10"/>
    </row>
    <row r="171" spans="8:8" x14ac:dyDescent="0.2">
      <c r="H171" s="10"/>
    </row>
    <row r="172" spans="8:8" x14ac:dyDescent="0.2">
      <c r="H172" s="10"/>
    </row>
    <row r="173" spans="8:8" x14ac:dyDescent="0.2">
      <c r="H173" s="10"/>
    </row>
    <row r="174" spans="8:8" x14ac:dyDescent="0.2">
      <c r="H174" s="10"/>
    </row>
    <row r="175" spans="8:8" x14ac:dyDescent="0.2">
      <c r="H175" s="10"/>
    </row>
    <row r="176" spans="8:8" x14ac:dyDescent="0.2">
      <c r="H176" s="10"/>
    </row>
    <row r="177" spans="8:8" x14ac:dyDescent="0.2">
      <c r="H177" s="10"/>
    </row>
    <row r="178" spans="8:8" x14ac:dyDescent="0.2">
      <c r="H178" s="10"/>
    </row>
    <row r="179" spans="8:8" x14ac:dyDescent="0.2">
      <c r="H179" s="10"/>
    </row>
    <row r="180" spans="8:8" x14ac:dyDescent="0.2">
      <c r="H180" s="10"/>
    </row>
    <row r="181" spans="8:8" x14ac:dyDescent="0.2">
      <c r="H181" s="10"/>
    </row>
    <row r="182" spans="8:8" x14ac:dyDescent="0.2">
      <c r="H182" s="10"/>
    </row>
    <row r="183" spans="8:8" x14ac:dyDescent="0.2">
      <c r="H183" s="10"/>
    </row>
    <row r="184" spans="8:8" x14ac:dyDescent="0.2">
      <c r="H184" s="10"/>
    </row>
    <row r="185" spans="8:8" x14ac:dyDescent="0.2">
      <c r="H185" s="10"/>
    </row>
    <row r="186" spans="8:8" x14ac:dyDescent="0.2">
      <c r="H186" s="10"/>
    </row>
    <row r="187" spans="8:8" x14ac:dyDescent="0.2">
      <c r="H187" s="10"/>
    </row>
    <row r="188" spans="8:8" x14ac:dyDescent="0.2">
      <c r="H188" s="10"/>
    </row>
    <row r="189" spans="8:8" x14ac:dyDescent="0.2">
      <c r="H189" s="10"/>
    </row>
    <row r="190" spans="8:8" x14ac:dyDescent="0.2">
      <c r="H190" s="10"/>
    </row>
    <row r="191" spans="8:8" x14ac:dyDescent="0.2">
      <c r="H191" s="10"/>
    </row>
    <row r="192" spans="8:8" x14ac:dyDescent="0.2">
      <c r="H192" s="10"/>
    </row>
    <row r="193" spans="8:8" x14ac:dyDescent="0.2">
      <c r="H193" s="10"/>
    </row>
    <row r="194" spans="8:8" x14ac:dyDescent="0.2">
      <c r="H194" s="10"/>
    </row>
    <row r="195" spans="8:8" x14ac:dyDescent="0.2">
      <c r="H195" s="10"/>
    </row>
    <row r="196" spans="8:8" x14ac:dyDescent="0.2">
      <c r="H196" s="10"/>
    </row>
    <row r="197" spans="8:8" x14ac:dyDescent="0.2">
      <c r="H197" s="10"/>
    </row>
    <row r="198" spans="8:8" x14ac:dyDescent="0.2">
      <c r="H198" s="10"/>
    </row>
    <row r="199" spans="8:8" x14ac:dyDescent="0.2">
      <c r="H199" s="10"/>
    </row>
    <row r="200" spans="8:8" x14ac:dyDescent="0.2">
      <c r="H200" s="10"/>
    </row>
    <row r="201" spans="8:8" x14ac:dyDescent="0.2">
      <c r="H201" s="10"/>
    </row>
    <row r="202" spans="8:8" x14ac:dyDescent="0.2">
      <c r="H202" s="10"/>
    </row>
    <row r="203" spans="8:8" x14ac:dyDescent="0.2">
      <c r="H203" s="10"/>
    </row>
    <row r="204" spans="8:8" x14ac:dyDescent="0.2">
      <c r="H204" s="10"/>
    </row>
    <row r="205" spans="8:8" x14ac:dyDescent="0.2">
      <c r="H205" s="10"/>
    </row>
    <row r="206" spans="8:8" x14ac:dyDescent="0.2">
      <c r="H206" s="10"/>
    </row>
    <row r="207" spans="8:8" x14ac:dyDescent="0.2">
      <c r="H207" s="10"/>
    </row>
    <row r="208" spans="8:8" x14ac:dyDescent="0.2">
      <c r="H208" s="10"/>
    </row>
    <row r="209" spans="8:8" x14ac:dyDescent="0.2">
      <c r="H209" s="10"/>
    </row>
    <row r="210" spans="8:8" x14ac:dyDescent="0.2">
      <c r="H210" s="10"/>
    </row>
    <row r="211" spans="8:8" x14ac:dyDescent="0.2">
      <c r="H211" s="10"/>
    </row>
    <row r="212" spans="8:8" x14ac:dyDescent="0.2">
      <c r="H212" s="10"/>
    </row>
    <row r="213" spans="8:8" x14ac:dyDescent="0.2">
      <c r="H213" s="10"/>
    </row>
    <row r="214" spans="8:8" x14ac:dyDescent="0.2">
      <c r="H214" s="10"/>
    </row>
    <row r="215" spans="8:8" x14ac:dyDescent="0.2">
      <c r="H215" s="10"/>
    </row>
    <row r="216" spans="8:8" x14ac:dyDescent="0.2">
      <c r="H216" s="10"/>
    </row>
    <row r="217" spans="8:8" x14ac:dyDescent="0.2">
      <c r="H217" s="10"/>
    </row>
    <row r="218" spans="8:8" x14ac:dyDescent="0.2">
      <c r="H218" s="10"/>
    </row>
    <row r="219" spans="8:8" x14ac:dyDescent="0.2">
      <c r="H219" s="10"/>
    </row>
    <row r="220" spans="8:8" x14ac:dyDescent="0.2">
      <c r="H220" s="10"/>
    </row>
    <row r="221" spans="8:8" x14ac:dyDescent="0.2">
      <c r="H221" s="10"/>
    </row>
    <row r="222" spans="8:8" x14ac:dyDescent="0.2">
      <c r="H222" s="10"/>
    </row>
    <row r="223" spans="8:8" x14ac:dyDescent="0.2">
      <c r="H223" s="10"/>
    </row>
    <row r="224" spans="8:8" x14ac:dyDescent="0.2">
      <c r="H224" s="10"/>
    </row>
    <row r="225" spans="8:8" x14ac:dyDescent="0.2">
      <c r="H225" s="10"/>
    </row>
    <row r="226" spans="8:8" x14ac:dyDescent="0.2">
      <c r="H226" s="10"/>
    </row>
    <row r="227" spans="8:8" x14ac:dyDescent="0.2">
      <c r="H227" s="10"/>
    </row>
    <row r="228" spans="8:8" x14ac:dyDescent="0.2">
      <c r="H228" s="10"/>
    </row>
    <row r="229" spans="8:8" x14ac:dyDescent="0.2">
      <c r="H229" s="10"/>
    </row>
    <row r="230" spans="8:8" x14ac:dyDescent="0.2">
      <c r="H230" s="10"/>
    </row>
    <row r="231" spans="8:8" x14ac:dyDescent="0.2">
      <c r="H231" s="10"/>
    </row>
    <row r="232" spans="8:8" x14ac:dyDescent="0.2">
      <c r="H232" s="10"/>
    </row>
    <row r="233" spans="8:8" x14ac:dyDescent="0.2">
      <c r="H233" s="10"/>
    </row>
    <row r="234" spans="8:8" x14ac:dyDescent="0.2">
      <c r="H234" s="10"/>
    </row>
    <row r="235" spans="8:8" x14ac:dyDescent="0.2">
      <c r="H235" s="10"/>
    </row>
    <row r="236" spans="8:8" x14ac:dyDescent="0.2">
      <c r="H236" s="10"/>
    </row>
    <row r="237" spans="8:8" x14ac:dyDescent="0.2">
      <c r="H237" s="10"/>
    </row>
    <row r="238" spans="8:8" x14ac:dyDescent="0.2">
      <c r="H238" s="10"/>
    </row>
    <row r="239" spans="8:8" x14ac:dyDescent="0.2">
      <c r="H239" s="10"/>
    </row>
    <row r="240" spans="8:8" x14ac:dyDescent="0.2">
      <c r="H240" s="10"/>
    </row>
    <row r="241" spans="8:8" x14ac:dyDescent="0.2">
      <c r="H241" s="10"/>
    </row>
    <row r="242" spans="8:8" x14ac:dyDescent="0.2">
      <c r="H242" s="10"/>
    </row>
    <row r="243" spans="8:8" x14ac:dyDescent="0.2">
      <c r="H243" s="10"/>
    </row>
    <row r="244" spans="8:8" x14ac:dyDescent="0.2">
      <c r="H244" s="10"/>
    </row>
    <row r="245" spans="8:8" x14ac:dyDescent="0.2">
      <c r="H245" s="10"/>
    </row>
    <row r="246" spans="8:8" x14ac:dyDescent="0.2">
      <c r="H246" s="10"/>
    </row>
    <row r="247" spans="8:8" x14ac:dyDescent="0.2">
      <c r="H247" s="10"/>
    </row>
    <row r="248" spans="8:8" x14ac:dyDescent="0.2">
      <c r="H248" s="10"/>
    </row>
    <row r="249" spans="8:8" x14ac:dyDescent="0.2">
      <c r="H249" s="10"/>
    </row>
    <row r="250" spans="8:8" x14ac:dyDescent="0.2">
      <c r="H250" s="10"/>
    </row>
    <row r="251" spans="8:8" x14ac:dyDescent="0.2">
      <c r="H251" s="10"/>
    </row>
    <row r="252" spans="8:8" x14ac:dyDescent="0.2">
      <c r="H252" s="10"/>
    </row>
    <row r="253" spans="8:8" x14ac:dyDescent="0.2">
      <c r="H253" s="10"/>
    </row>
    <row r="254" spans="8:8" x14ac:dyDescent="0.2">
      <c r="H254" s="10"/>
    </row>
    <row r="255" spans="8:8" x14ac:dyDescent="0.2">
      <c r="H255" s="10"/>
    </row>
    <row r="256" spans="8:8" x14ac:dyDescent="0.2">
      <c r="H256" s="10"/>
    </row>
    <row r="257" spans="8:8" x14ac:dyDescent="0.2">
      <c r="H257" s="10"/>
    </row>
    <row r="258" spans="8:8" x14ac:dyDescent="0.2">
      <c r="H258" s="10"/>
    </row>
    <row r="259" spans="8:8" x14ac:dyDescent="0.2">
      <c r="H259" s="10"/>
    </row>
    <row r="260" spans="8:8" x14ac:dyDescent="0.2">
      <c r="H260" s="10"/>
    </row>
    <row r="261" spans="8:8" x14ac:dyDescent="0.2">
      <c r="H261" s="10"/>
    </row>
    <row r="262" spans="8:8" x14ac:dyDescent="0.2">
      <c r="H262" s="10"/>
    </row>
    <row r="263" spans="8:8" x14ac:dyDescent="0.2">
      <c r="H263" s="10"/>
    </row>
    <row r="264" spans="8:8" x14ac:dyDescent="0.2">
      <c r="H264" s="10"/>
    </row>
    <row r="265" spans="8:8" x14ac:dyDescent="0.2">
      <c r="H265" s="10"/>
    </row>
    <row r="266" spans="8:8" x14ac:dyDescent="0.2">
      <c r="H266" s="10"/>
    </row>
    <row r="267" spans="8:8" x14ac:dyDescent="0.2">
      <c r="H267" s="10"/>
    </row>
    <row r="268" spans="8:8" x14ac:dyDescent="0.2">
      <c r="H268" s="10"/>
    </row>
    <row r="269" spans="8:8" x14ac:dyDescent="0.2">
      <c r="H269" s="10"/>
    </row>
    <row r="270" spans="8:8" x14ac:dyDescent="0.2">
      <c r="H270" s="10"/>
    </row>
    <row r="271" spans="8:8" x14ac:dyDescent="0.2">
      <c r="H271" s="10"/>
    </row>
    <row r="272" spans="8:8" x14ac:dyDescent="0.2">
      <c r="H272" s="10"/>
    </row>
    <row r="273" spans="8:8" x14ac:dyDescent="0.2">
      <c r="H273" s="10"/>
    </row>
    <row r="274" spans="8:8" x14ac:dyDescent="0.2">
      <c r="H274" s="10"/>
    </row>
    <row r="275" spans="8:8" x14ac:dyDescent="0.2">
      <c r="H275" s="10"/>
    </row>
    <row r="276" spans="8:8" x14ac:dyDescent="0.2">
      <c r="H276" s="10"/>
    </row>
    <row r="277" spans="8:8" x14ac:dyDescent="0.2">
      <c r="H277" s="10"/>
    </row>
    <row r="278" spans="8:8" x14ac:dyDescent="0.2">
      <c r="H278" s="10"/>
    </row>
    <row r="279" spans="8:8" x14ac:dyDescent="0.2">
      <c r="H279" s="10"/>
    </row>
    <row r="280" spans="8:8" x14ac:dyDescent="0.2">
      <c r="H280" s="10"/>
    </row>
    <row r="281" spans="8:8" x14ac:dyDescent="0.2">
      <c r="H281" s="10"/>
    </row>
    <row r="282" spans="8:8" x14ac:dyDescent="0.2">
      <c r="H282" s="10"/>
    </row>
    <row r="283" spans="8:8" x14ac:dyDescent="0.2">
      <c r="H283" s="10"/>
    </row>
    <row r="284" spans="8:8" x14ac:dyDescent="0.2">
      <c r="H284" s="10"/>
    </row>
    <row r="285" spans="8:8" x14ac:dyDescent="0.2">
      <c r="H285" s="10"/>
    </row>
    <row r="286" spans="8:8" x14ac:dyDescent="0.2">
      <c r="H286" s="10"/>
    </row>
    <row r="287" spans="8:8" x14ac:dyDescent="0.2">
      <c r="H287" s="10"/>
    </row>
    <row r="288" spans="8:8" x14ac:dyDescent="0.2">
      <c r="H288" s="10"/>
    </row>
    <row r="289" spans="8:8" x14ac:dyDescent="0.2">
      <c r="H289" s="10"/>
    </row>
    <row r="290" spans="8:8" x14ac:dyDescent="0.2">
      <c r="H290" s="10"/>
    </row>
    <row r="291" spans="8:8" x14ac:dyDescent="0.2">
      <c r="H291" s="10"/>
    </row>
    <row r="292" spans="8:8" x14ac:dyDescent="0.2">
      <c r="H292" s="10"/>
    </row>
    <row r="293" spans="8:8" x14ac:dyDescent="0.2">
      <c r="H293" s="10"/>
    </row>
    <row r="294" spans="8:8" x14ac:dyDescent="0.2">
      <c r="H294" s="10"/>
    </row>
    <row r="295" spans="8:8" x14ac:dyDescent="0.2">
      <c r="H295" s="10"/>
    </row>
    <row r="296" spans="8:8" x14ac:dyDescent="0.2">
      <c r="H296" s="10"/>
    </row>
    <row r="297" spans="8:8" x14ac:dyDescent="0.2">
      <c r="H297" s="10"/>
    </row>
    <row r="298" spans="8:8" x14ac:dyDescent="0.2">
      <c r="H298" s="10"/>
    </row>
    <row r="299" spans="8:8" x14ac:dyDescent="0.2">
      <c r="H299" s="10"/>
    </row>
    <row r="300" spans="8:8" x14ac:dyDescent="0.2">
      <c r="H300" s="10"/>
    </row>
    <row r="301" spans="8:8" x14ac:dyDescent="0.2">
      <c r="H301" s="10"/>
    </row>
    <row r="302" spans="8:8" x14ac:dyDescent="0.2">
      <c r="H302" s="10"/>
    </row>
    <row r="303" spans="8:8" x14ac:dyDescent="0.2">
      <c r="H303" s="10"/>
    </row>
    <row r="304" spans="8:8" x14ac:dyDescent="0.2">
      <c r="H304" s="10"/>
    </row>
    <row r="305" spans="8:8" x14ac:dyDescent="0.2">
      <c r="H305" s="10"/>
    </row>
    <row r="306" spans="8:8" x14ac:dyDescent="0.2">
      <c r="H306" s="10"/>
    </row>
    <row r="307" spans="8:8" x14ac:dyDescent="0.2">
      <c r="H307" s="10"/>
    </row>
    <row r="308" spans="8:8" x14ac:dyDescent="0.2">
      <c r="H308" s="10"/>
    </row>
    <row r="309" spans="8:8" x14ac:dyDescent="0.2">
      <c r="H309" s="10"/>
    </row>
    <row r="310" spans="8:8" x14ac:dyDescent="0.2">
      <c r="H310" s="10"/>
    </row>
    <row r="311" spans="8:8" x14ac:dyDescent="0.2">
      <c r="H311" s="10"/>
    </row>
    <row r="312" spans="8:8" x14ac:dyDescent="0.2">
      <c r="H312" s="10"/>
    </row>
    <row r="313" spans="8:8" x14ac:dyDescent="0.2">
      <c r="H313" s="10"/>
    </row>
  </sheetData>
  <phoneticPr fontId="4" type="noConversion"/>
  <conditionalFormatting sqref="I1:AX20">
    <cfRule type="expression" dxfId="34" priority="35">
      <formula>COUNTA(I$1:I$20)&gt;0</formula>
    </cfRule>
    <cfRule type="notContainsBlanks" dxfId="33" priority="36">
      <formula>LEN(TRIM(I1))&gt;0</formula>
    </cfRule>
  </conditionalFormatting>
  <conditionalFormatting sqref="I12:AX12">
    <cfRule type="expression" dxfId="32" priority="20">
      <formula>AND(I12&lt;&gt;"",I12&gt;0)</formula>
    </cfRule>
  </conditionalFormatting>
  <conditionalFormatting sqref="I13:AX13">
    <cfRule type="expression" dxfId="31" priority="15">
      <formula>AND(I13&lt;&gt;"",I13&gt;0)</formula>
    </cfRule>
  </conditionalFormatting>
  <conditionalFormatting sqref="I15:AX16">
    <cfRule type="expression" dxfId="30" priority="13">
      <formula>AND(I15&lt;&gt;"",I15&gt;0)</formula>
    </cfRule>
  </conditionalFormatting>
  <conditionalFormatting sqref="I17:AX17">
    <cfRule type="expression" dxfId="29" priority="12">
      <formula>AND(I17&lt;&gt;"",I17&gt;0)</formula>
    </cfRule>
  </conditionalFormatting>
  <conditionalFormatting sqref="I21:AX21">
    <cfRule type="expression" dxfId="28" priority="21">
      <formula>COUNTA(I$1:I$20)&gt;0</formula>
    </cfRule>
  </conditionalFormatting>
  <conditionalFormatting sqref="I22:AX308">
    <cfRule type="expression" dxfId="27" priority="6">
      <formula>I22="Question to LOB"</formula>
    </cfRule>
    <cfRule type="expression" dxfId="26" priority="7">
      <formula>I22="Pass with Observation"</formula>
    </cfRule>
    <cfRule type="expression" dxfId="25" priority="9">
      <formula>OR(I22="Fail 1 - Regulatory/Policy",I22="Fail 2 - Procedure")</formula>
    </cfRule>
    <cfRule type="expression" dxfId="24" priority="10">
      <formula>AND(I22&lt;&gt;"",I22&lt;&gt;"Fail 1 - Regulatory/Policy",I22&lt;&gt;"Fail 2 - Procedure",I22&lt;&gt;"Question to LOB",I22&lt;&gt;"Pass with Observation")</formula>
    </cfRule>
    <cfRule type="expression" dxfId="23" priority="34">
      <formula>AND($H22&lt;&gt;"",COUNTA(I$1:I$20)&gt;0)</formula>
    </cfRule>
    <cfRule type="expression" dxfId="22" priority="8">
      <formula>I22="N/A"</formula>
    </cfRule>
  </conditionalFormatting>
  <conditionalFormatting sqref="A22:H308">
    <cfRule type="expression" dxfId="20" priority="5">
      <formula>AND($E22="Individuals", $H22&lt;&gt;"")</formula>
    </cfRule>
    <cfRule type="expression" dxfId="19" priority="4">
      <formula>AND($E22="Beneficial Ownership", $H22&lt;&gt;"")</formula>
    </cfRule>
    <cfRule type="expression" dxfId="18" priority="3">
      <formula>AND($E22="Entity", $H22&lt;&gt;"")</formula>
    </cfRule>
    <cfRule type="expression" dxfId="17" priority="2">
      <formula>AND($E22="Screening", $H22&lt;&gt;"")</formula>
    </cfRule>
  </conditionalFormatting>
  <conditionalFormatting sqref="I14:AX14">
    <cfRule type="expression" dxfId="21" priority="14">
      <formula>AND(I14&lt;&gt;"",I14&gt;0)</formula>
    </cfRule>
  </conditionalFormatting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6ff60d36-925f-4785-a854-510f909ee561}" enabled="0" method="" siteId="{6ff60d36-925f-4785-a854-510f909ee5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Enterprise</vt:lpstr>
    </vt:vector>
  </TitlesOfParts>
  <Company>Crowe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Ivancevic, Petar</dc:creator>
  <cp:lastModifiedBy>Ivancevic, Petar</cp:lastModifiedBy>
  <dcterms:created xsi:type="dcterms:W3CDTF">2025-12-19T16:16:28Z</dcterms:created>
  <dcterms:modified xsi:type="dcterms:W3CDTF">2026-02-03T03:38:21Z</dcterms:modified>
</cp:coreProperties>
</file>